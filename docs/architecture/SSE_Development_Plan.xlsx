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acklog" sheetId="2" state="visible" r:id="rId4"/>
    <sheet name="Audit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<sst xmlns="http://schemas.openxmlformats.org/spreadsheetml/2006/main" count="307" uniqueCount="161">
  <si>
    <t xml:space="preserve">Storm Shield Enterprise — Development Plan (Single Agent)</t>
  </si>
  <si>
    <t xml:space="preserve">Updated: 2026-04-06 | Status: Post-Audit Cleanup Complete | Next: Phase 1 Hardening</t>
  </si>
  <si>
    <t xml:space="preserve">Total Tasks</t>
  </si>
  <si>
    <t xml:space="preserve">Completed</t>
  </si>
  <si>
    <t xml:space="preserve">In Progress</t>
  </si>
  <si>
    <t xml:space="preserve">Backlog</t>
  </si>
  <si>
    <t xml:space="preserve">Completion %</t>
  </si>
  <si>
    <t xml:space="preserve">Phase Summary</t>
  </si>
  <si>
    <t xml:space="preserve">Phase</t>
  </si>
  <si>
    <t xml:space="preserve">Tasks</t>
  </si>
  <si>
    <t xml:space="preserve">Done</t>
  </si>
  <si>
    <t xml:space="preserve">Progress</t>
  </si>
  <si>
    <t xml:space="preserve">1A: Hardening &amp; Tests</t>
  </si>
  <si>
    <t xml:space="preserve">1B: Deploy Staging</t>
  </si>
  <si>
    <t xml:space="preserve">2: Frontend Polish (P0/P1)</t>
  </si>
  <si>
    <t xml:space="preserve">3: Accounting &amp; FAM</t>
  </si>
  <si>
    <t xml:space="preserve">SSE Backlog — Single Agent Execution Order</t>
  </si>
  <si>
    <t xml:space="preserve">ID</t>
  </si>
  <si>
    <t xml:space="preserve">Task</t>
  </si>
  <si>
    <t xml:space="preserve">Priority</t>
  </si>
  <si>
    <t xml:space="preserve">Status</t>
  </si>
  <si>
    <t xml:space="preserve">Branch</t>
  </si>
  <si>
    <t xml:space="preserve">Notes</t>
  </si>
  <si>
    <t xml:space="preserve">T-001</t>
  </si>
  <si>
    <t xml:space="preserve">Add unit tests: CustomersService (CRUD + pagination)</t>
  </si>
  <si>
    <t xml:space="preserve">1A-hardening</t>
  </si>
  <si>
    <t xml:space="preserve">P0</t>
  </si>
  <si>
    <t xml:space="preserve">feature/SSE-012-unit-tests</t>
  </si>
  <si>
    <t xml:space="preserve">Jest + ts-jest config needed first</t>
  </si>
  <si>
    <t xml:space="preserve">T-002</t>
  </si>
  <si>
    <t xml:space="preserve">Add unit tests: EstimatesService (CRUD + status workflow)</t>
  </si>
  <si>
    <t xml:space="preserve">Test all status transitions</t>
  </si>
  <si>
    <t xml:space="preserve">T-003</t>
  </si>
  <si>
    <t xml:space="preserve">Add unit tests: VehiclesService</t>
  </si>
  <si>
    <t xml:space="preserve">T-004</t>
  </si>
  <si>
    <t xml:space="preserve">Add unit tests: FinancialService (summary + dashboard)</t>
  </si>
  <si>
    <t xml:space="preserve">T-005</t>
  </si>
  <si>
    <t xml:space="preserve">Add unit tests: UsersService (CRUD + role assign)</t>
  </si>
  <si>
    <t xml:space="preserve">T-006</t>
  </si>
  <si>
    <t xml:space="preserve">Add unit tests: TenantDatabaseService + TenantMiddleware</t>
  </si>
  <si>
    <t xml:space="preserve">Critical for multi-tenant safety</t>
  </si>
  <si>
    <t xml:space="preserve">T-007</t>
  </si>
  <si>
    <t xml:space="preserve">Configure Jest with ts-jest for apps/api</t>
  </si>
  <si>
    <t xml:space="preserve">Blocker for all tests</t>
  </si>
  <si>
    <t xml:space="preserve">T-008</t>
  </si>
  <si>
    <t xml:space="preserve">Remove duplicate enums from DTOs (use @sse/shared-types)</t>
  </si>
  <si>
    <t xml:space="preserve">P1</t>
  </si>
  <si>
    <t xml:space="preserve">feature/SSE-013-cleanup</t>
  </si>
  <si>
    <t xml:space="preserve">CustomerTypeDto, EstimateStatusDto etc.</t>
  </si>
  <si>
    <t xml:space="preserve">T-009</t>
  </si>
  <si>
    <t xml:space="preserve">Add @IsISO8601 validation to date query params</t>
  </si>
  <si>
    <t xml:space="preserve">financial, estimates date filters</t>
  </si>
  <si>
    <t xml:space="preserve">T-010</t>
  </si>
  <si>
    <t xml:space="preserve">Add global error handler logging for uncaught exceptions</t>
  </si>
  <si>
    <t xml:space="preserve">P2</t>
  </si>
  <si>
    <t xml:space="preserve">Winston structured logging</t>
  </si>
  <si>
    <t xml:space="preserve">T-011</t>
  </si>
  <si>
    <t xml:space="preserve">Recreate Fly.io deploy config (fly.toml + release cmd)</t>
  </si>
  <si>
    <t xml:space="preserve">1B-deploy</t>
  </si>
  <si>
    <t xml:space="preserve">feature/SSE-014-deploy-staging</t>
  </si>
  <si>
    <t xml:space="preserve">Lost from Agent 1 — recreate</t>
  </si>
  <si>
    <t xml:space="preserve">T-012</t>
  </si>
  <si>
    <t xml:space="preserve">Create Redis module (Upstash connection)</t>
  </si>
  <si>
    <t xml:space="preserve">T-013</t>
  </si>
  <si>
    <t xml:space="preserve">Create migration runner for Fly.io release</t>
  </si>
  <si>
    <t xml:space="preserve">T-014</t>
  </si>
  <si>
    <t xml:space="preserve">Enhanced health endpoint (DB + Redis checks)</t>
  </si>
  <si>
    <t xml:space="preserve">T-015</t>
  </si>
  <si>
    <t xml:space="preserve">GitHub Actions: deploy-api-staging.yml</t>
  </si>
  <si>
    <t xml:space="preserve">T-016</t>
  </si>
  <si>
    <t xml:space="preserve">GitHub Actions: deploy-web-staging.yml</t>
  </si>
  <si>
    <t xml:space="preserve">T-017</t>
  </si>
  <si>
    <t xml:space="preserve">Configure Neon SSL + database.module updates</t>
  </si>
  <si>
    <t xml:space="preserve">T-018</t>
  </si>
  <si>
    <t xml:space="preserve">Vercel.json + environment config</t>
  </si>
  <si>
    <t xml:space="preserve">T-019</t>
  </si>
  <si>
    <t xml:space="preserve">Smoke test staging deploy end-to-end</t>
  </si>
  <si>
    <t xml:space="preserve">After deploy success</t>
  </si>
  <si>
    <t xml:space="preserve">T-020</t>
  </si>
  <si>
    <t xml:space="preserve">Vehicles: replace text input with customer combobox (P0)</t>
  </si>
  <si>
    <t xml:space="preserve">2-frontend</t>
  </si>
  <si>
    <t xml:space="preserve">feature/SSE-015-frontend-polish</t>
  </si>
  <si>
    <t xml:space="preserve">Gap B1-2: UUID text input unacceptable</t>
  </si>
  <si>
    <t xml:space="preserve">T-021</t>
  </si>
  <si>
    <t xml:space="preserve">Estimates: add inline line editor (add/remove rows)</t>
  </si>
  <si>
    <t xml:space="preserve">Gap B2-3: lines editing missing</t>
  </si>
  <si>
    <t xml:space="preserve">T-022</t>
  </si>
  <si>
    <t xml:space="preserve">Financial: add KPI cards + trend chart</t>
  </si>
  <si>
    <t xml:space="preserve">Gap B3-1: financial page too basic</t>
  </si>
  <si>
    <t xml:space="preserve">T-023</t>
  </si>
  <si>
    <t xml:space="preserve">Vehicles: add photo gallery + upload</t>
  </si>
  <si>
    <t xml:space="preserve">feature/SSE-016-vehicles-photos</t>
  </si>
  <si>
    <t xml:space="preserve">Gap B1-3/B1-4: needs backend photo endpoints</t>
  </si>
  <si>
    <t xml:space="preserve">T-024</t>
  </si>
  <si>
    <t xml:space="preserve">Estimates: status transition buttons + history timeline</t>
  </si>
  <si>
    <t xml:space="preserve">Gap B2-1: status workflow not exposed in UI</t>
  </si>
  <si>
    <t xml:space="preserve">T-025</t>
  </si>
  <si>
    <t xml:space="preserve">Estimates: supplements panel</t>
  </si>
  <si>
    <t xml:space="preserve">Gap B2-4</t>
  </si>
  <si>
    <t xml:space="preserve">T-026</t>
  </si>
  <si>
    <t xml:space="preserve">Dashboard: estimates by status chart + revenue trend</t>
  </si>
  <si>
    <t xml:space="preserve">Gap B4-1</t>
  </si>
  <si>
    <t xml:space="preserve">T-027</t>
  </si>
  <si>
    <t xml:space="preserve">Vehicles: add customer_name column to list</t>
  </si>
  <si>
    <t xml:space="preserve">Gap B1-1</t>
  </si>
  <si>
    <t xml:space="preserve">T-028</t>
  </si>
  <si>
    <t xml:space="preserve">Financial: category pie chart + reconciliation</t>
  </si>
  <si>
    <t xml:space="preserve">Gap B3-2/B3-4</t>
  </si>
  <si>
    <t xml:space="preserve">T-029</t>
  </si>
  <si>
    <t xml:space="preserve">Chart of Accounts: CRUD + seed data</t>
  </si>
  <si>
    <t xml:space="preserve">3-accounting</t>
  </si>
  <si>
    <t xml:space="preserve">feature/SSE-020-accounting</t>
  </si>
  <si>
    <t xml:space="preserve">US GAAP 1000-9999 structure</t>
  </si>
  <si>
    <t xml:space="preserve">T-030</t>
  </si>
  <si>
    <t xml:space="preserve">Journal Entries: double-entry with validation</t>
  </si>
  <si>
    <t xml:space="preserve">Debit = Credit enforcement</t>
  </si>
  <si>
    <t xml:space="preserve">T-031</t>
  </si>
  <si>
    <t xml:space="preserve">Fiscal Periods: open/close + period locking</t>
  </si>
  <si>
    <t xml:space="preserve">T-032</t>
  </si>
  <si>
    <t xml:space="preserve">Reports: Trial Balance, P&amp;L, Balance Sheet</t>
  </si>
  <si>
    <t xml:space="preserve">T-033</t>
  </si>
  <si>
    <t xml:space="preserve">Fixed Assets: CRUD + 5 depreciation methods</t>
  </si>
  <si>
    <t xml:space="preserve">feature/SSE-021-fam</t>
  </si>
  <si>
    <t xml:space="preserve">Straight-line, MACRS, DB, SYD, UOP</t>
  </si>
  <si>
    <t xml:space="preserve">T-034</t>
  </si>
  <si>
    <t xml:space="preserve">FAM: monthly batch depreciation + auto-JE</t>
  </si>
  <si>
    <t xml:space="preserve">D:5800/C:1590</t>
  </si>
  <si>
    <t xml:space="preserve">T-035</t>
  </si>
  <si>
    <t xml:space="preserve">FAM: asset disposal + gain/loss JE</t>
  </si>
  <si>
    <t xml:space="preserve">T-036</t>
  </si>
  <si>
    <t xml:space="preserve">Accounting frontend pages</t>
  </si>
  <si>
    <t xml:space="preserve">feature/SSE-022-accounting-ui</t>
  </si>
  <si>
    <t xml:space="preserve">COA, JE, reports pages</t>
  </si>
  <si>
    <t xml:space="preserve">Audit &amp; Changes Log</t>
  </si>
  <si>
    <t xml:space="preserve">Date</t>
  </si>
  <si>
    <t xml:space="preserve">Action</t>
  </si>
  <si>
    <t xml:space="preserve">Details</t>
  </si>
  <si>
    <t xml:space="preserve">Commit</t>
  </si>
  <si>
    <t xml:space="preserve">2026-04-06</t>
  </si>
  <si>
    <t xml:space="preserve">Audit: repo state + code review</t>
  </si>
  <si>
    <t xml:space="preserve">197 CRLF ghost diffs cleaned, .git/HEAD corruption fixed, 3 feature branches mapped</t>
  </si>
  <si>
    <t xml:space="preserve">-</t>
  </si>
  <si>
    <t xml:space="preserve">Merge: Agent 3 gap analysis</t>
  </si>
  <si>
    <t xml:space="preserve">docs/audits/grupo-b-gaps.md — 17 frontend gaps identified (P0-P2)</t>
  </si>
  <si>
    <t xml:space="preserve">4d886a6</t>
  </si>
  <si>
    <t xml:space="preserve">Fix: SQL injection in TenantDatabaseService</t>
  </si>
  <si>
    <t xml:space="preserve">Schema name regex validation + parameterized SET query</t>
  </si>
  <si>
    <t xml:space="preserve">f9999b7</t>
  </si>
  <si>
    <t xml:space="preserve">Fix: Hardcoded tax in EstimatesService</t>
  </si>
  <si>
    <t xml:space="preserve">Added tax_rate field to DTO, dynamic calculation</t>
  </si>
  <si>
    <t xml:space="preserve">Fix: Pagination limit enforcement (7 services)</t>
  </si>
  <si>
    <t xml:space="preserve">MAX_LIMIT=100, safeLimit in all findAll methods</t>
  </si>
  <si>
    <t xml:space="preserve">Fix: Auth service silent error</t>
  </si>
  <si>
    <t xml:space="preserve">Added Logger + error logging in getClerkUser()</t>
  </si>
  <si>
    <t xml:space="preserve">Add: .gitattributes</t>
  </si>
  <si>
    <t xml:space="preserve">Normalize line endings to LF, prevent CRLF diffs</t>
  </si>
  <si>
    <t xml:space="preserve">Add: Documentation pack</t>
  </si>
  <si>
    <t xml:space="preserve">AGENTS.md, ADR 006, deploy/grupo prompts</t>
  </si>
  <si>
    <t xml:space="preserve">8d13ab8</t>
  </si>
  <si>
    <t xml:space="preserve">Decision: single-agent workflow</t>
  </si>
  <si>
    <t xml:space="preserve">Abandoned parallel agents due to coordination overhead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</si>
</sst>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24"/>
      <color rgb="FF1F4E79"/>
      <name val="Arial"/>
      <family val="0"/>
      <charset val="1"/>
    </font>
    <font>
      <b val="true"/>
      <sz val="14"/>
      <color rgb="FF2E7D32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2E7D32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sz val="9"/>
      <color rgb="FF666666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D32F2F"/>
      <name val="Arial"/>
      <family val="0"/>
      <charset val="1"/>
    </font>
    <font>
      <sz val="9"/>
      <color rgb="FF4472C4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9"/>
      <color rgb="FFF57C00"/>
      <name val="Arial"/>
      <family val="0"/>
      <charset val="1"/>
    </font>
    <font>
      <b val="true"/>
      <sz val="9"/>
      <color rgb="FF1976D2"/>
      <name val="Arial"/>
      <family val="0"/>
      <charset val="1"/>
    </font>
    <font>
      <b val="true"/>
      <sz val="13"/>
      <color rgb="FF2E7D32"/>
      <name val="Arial"/>
      <family val="0"/>
      <charset val="1"/>
    </font>
    <font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4472C4"/>
        <bgColor rgb="FF1976D2"/>
      </patternFill>
    </fill>
    <fill>
      <patternFill patternType="solid">
        <fgColor rgb="FFF5F5F5"/>
        <bgColor rgb="FFFFFFFF"/>
      </patternFill>
    </fill>
    <fill>
      <patternFill patternType="solid">
        <fgColor rgb="FF2E7D32"/>
        <bgColor rgb="FF0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5F5F5"/>
      <rgbColor rgb="FFCCFFFF"/>
      <rgbColor rgb="FF660066"/>
      <rgbColor rgb="FFFF8080"/>
      <rgbColor rgb="FF1976D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57C00"/>
      <rgbColor rgb="FF666666"/>
      <rgbColor rgb="FF969696"/>
      <rgbColor rgb="FF003366"/>
      <rgbColor rgb="FF2E7D32"/>
      <rgbColor rgb="FF003300"/>
      <rgbColor rgb="FF333300"/>
      <rgbColor rgb="FFD32F2F"/>
      <rgbColor rgb="FF993366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0" width="16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  <c r="D3" s="3" t="s">
        <v>3</v>
      </c>
      <c r="F3" s="3" t="s">
        <v>4</v>
      </c>
      <c r="H3" s="3" t="s">
        <v>5</v>
      </c>
    </row>
    <row r="4" customFormat="false" ht="29.15" hidden="false" customHeight="false" outlineLevel="0" collapsed="false">
      <c r="B4" s="4" t="n">
        <f aca="false">COUNTA(Backlog!A3:A200)</f>
        <v>36</v>
      </c>
      <c r="D4" s="4" t="n">
        <f aca="false">COUNTIF(Backlog!E3:E200,"Done")</f>
        <v>0</v>
      </c>
      <c r="F4" s="4" t="n">
        <f aca="false">COUNTIF(Backlog!E3:E200,"In Progress")</f>
        <v>0</v>
      </c>
      <c r="H4" s="4" t="n">
        <f aca="false">COUNTIF(Backlog!E3:E200,"Backlog")</f>
        <v>36</v>
      </c>
    </row>
    <row r="6" customFormat="false" ht="17.35" hidden="false" customHeight="false" outlineLevel="0" collapsed="false">
      <c r="B6" s="5" t="s">
        <v>6</v>
      </c>
      <c r="C6" s="6" t="n">
        <f aca="false">IF(B4&gt;0,D4/B4,0)</f>
        <v>0</v>
      </c>
    </row>
    <row r="8" customFormat="false" ht="15" hidden="false" customHeight="false" outlineLevel="0" collapsed="false">
      <c r="A8" s="7" t="s">
        <v>7</v>
      </c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</row>
    <row r="10" customFormat="false" ht="15" hidden="false" customHeight="false" outlineLevel="0" collapsed="false">
      <c r="A10" s="9" t="s">
        <v>12</v>
      </c>
      <c r="B10" s="9" t="n">
        <f aca="false">COUNTIF(Backlog!C3:C200,"1A*")</f>
        <v>10</v>
      </c>
      <c r="C10" s="9" t="n">
        <f aca="false">COUNTIFS(Backlog!C3:C200,"1A*",Backlog!E3:E200,"Done")</f>
        <v>0</v>
      </c>
      <c r="D10" s="10" t="n">
        <f aca="false">IF(B10&gt;0,C10/B10,0)</f>
        <v>0</v>
      </c>
    </row>
    <row r="11" customFormat="false" ht="15" hidden="false" customHeight="false" outlineLevel="0" collapsed="false">
      <c r="A11" s="9" t="s">
        <v>13</v>
      </c>
      <c r="B11" s="9" t="n">
        <f aca="false">COUNTIF(Backlog!C3:C200,"1B*")</f>
        <v>9</v>
      </c>
      <c r="C11" s="9" t="n">
        <f aca="false">COUNTIFS(Backlog!C3:C200,"1B*",Backlog!E3:E200,"Done")</f>
        <v>0</v>
      </c>
      <c r="D11" s="10" t="n">
        <f aca="false">IF(B11&gt;0,C11/B11,0)</f>
        <v>0</v>
      </c>
    </row>
    <row r="12" customFormat="false" ht="15" hidden="false" customHeight="false" outlineLevel="0" collapsed="false">
      <c r="A12" s="9" t="s">
        <v>14</v>
      </c>
      <c r="B12" s="9" t="n">
        <f aca="false">COUNTIF(Backlog!C3:C200,"2*")</f>
        <v>9</v>
      </c>
      <c r="C12" s="9" t="n">
        <f aca="false">COUNTIFS(Backlog!C3:C200,"2*",Backlog!E3:E200,"Done")</f>
        <v>0</v>
      </c>
      <c r="D12" s="10" t="n">
        <f aca="false">IF(B12&gt;0,C12/B12,0)</f>
        <v>0</v>
      </c>
    </row>
    <row r="13" customFormat="false" ht="15" hidden="false" customHeight="false" outlineLevel="0" collapsed="false">
      <c r="A13" s="9" t="s">
        <v>15</v>
      </c>
      <c r="B13" s="9" t="n">
        <f aca="false">COUNTIF(Backlog!C3:C200,"3*")</f>
        <v>8</v>
      </c>
      <c r="C13" s="9" t="n">
        <f aca="false">COUNTIFS(Backlog!C3:C200,"3*",Backlog!E3:E200,"Done")</f>
        <v>0</v>
      </c>
      <c r="D13" s="10" t="n">
        <f aca="false">IF(B13&gt;0,C13/B13,0)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5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1" t="s">
        <v>16</v>
      </c>
      <c r="B1" s="11"/>
      <c r="C1" s="11"/>
      <c r="D1" s="11"/>
      <c r="E1" s="11"/>
      <c r="F1" s="11"/>
      <c r="G1" s="11"/>
    </row>
    <row r="2" customFormat="false" ht="15" hidden="false" customHeight="false" outlineLevel="0" collapsed="false">
      <c r="A2" s="12" t="s">
        <v>17</v>
      </c>
      <c r="B2" s="12" t="s">
        <v>18</v>
      </c>
      <c r="C2" s="12" t="s">
        <v>8</v>
      </c>
      <c r="D2" s="12" t="s">
        <v>19</v>
      </c>
      <c r="E2" s="12" t="s">
        <v>20</v>
      </c>
      <c r="F2" s="12" t="s">
        <v>21</v>
      </c>
      <c r="G2" s="12" t="s">
        <v>22</v>
      </c>
    </row>
    <row r="3" customFormat="false" ht="15" hidden="false" customHeight="false" outlineLevel="0" collapsed="false">
      <c r="A3" s="13" t="s">
        <v>23</v>
      </c>
      <c r="B3" s="14" t="s">
        <v>24</v>
      </c>
      <c r="C3" s="15" t="s">
        <v>25</v>
      </c>
      <c r="D3" s="16" t="s">
        <v>26</v>
      </c>
      <c r="E3" s="15" t="s">
        <v>5</v>
      </c>
      <c r="F3" s="17" t="s">
        <v>27</v>
      </c>
      <c r="G3" s="18" t="s">
        <v>28</v>
      </c>
    </row>
    <row r="4" customFormat="false" ht="15" hidden="false" customHeight="false" outlineLevel="0" collapsed="false">
      <c r="A4" s="13" t="s">
        <v>29</v>
      </c>
      <c r="B4" s="14" t="s">
        <v>30</v>
      </c>
      <c r="C4" s="15" t="s">
        <v>25</v>
      </c>
      <c r="D4" s="16" t="s">
        <v>26</v>
      </c>
      <c r="E4" s="15" t="s">
        <v>5</v>
      </c>
      <c r="F4" s="17" t="s">
        <v>27</v>
      </c>
      <c r="G4" s="18" t="s">
        <v>31</v>
      </c>
    </row>
    <row r="5" customFormat="false" ht="15" hidden="false" customHeight="false" outlineLevel="0" collapsed="false">
      <c r="A5" s="13" t="s">
        <v>32</v>
      </c>
      <c r="B5" s="14" t="s">
        <v>33</v>
      </c>
      <c r="C5" s="15" t="s">
        <v>25</v>
      </c>
      <c r="D5" s="16" t="s">
        <v>26</v>
      </c>
      <c r="E5" s="15" t="s">
        <v>5</v>
      </c>
      <c r="F5" s="17" t="s">
        <v>27</v>
      </c>
      <c r="G5" s="18"/>
    </row>
    <row r="6" customFormat="false" ht="15" hidden="false" customHeight="false" outlineLevel="0" collapsed="false">
      <c r="A6" s="13" t="s">
        <v>34</v>
      </c>
      <c r="B6" s="14" t="s">
        <v>35</v>
      </c>
      <c r="C6" s="15" t="s">
        <v>25</v>
      </c>
      <c r="D6" s="16" t="s">
        <v>26</v>
      </c>
      <c r="E6" s="15" t="s">
        <v>5</v>
      </c>
      <c r="F6" s="17" t="s">
        <v>27</v>
      </c>
      <c r="G6" s="18"/>
    </row>
    <row r="7" customFormat="false" ht="15" hidden="false" customHeight="false" outlineLevel="0" collapsed="false">
      <c r="A7" s="13" t="s">
        <v>36</v>
      </c>
      <c r="B7" s="14" t="s">
        <v>37</v>
      </c>
      <c r="C7" s="15" t="s">
        <v>25</v>
      </c>
      <c r="D7" s="16" t="s">
        <v>26</v>
      </c>
      <c r="E7" s="15" t="s">
        <v>5</v>
      </c>
      <c r="F7" s="17" t="s">
        <v>27</v>
      </c>
      <c r="G7" s="18"/>
    </row>
    <row r="8" customFormat="false" ht="15" hidden="false" customHeight="false" outlineLevel="0" collapsed="false">
      <c r="A8" s="13" t="s">
        <v>38</v>
      </c>
      <c r="B8" s="14" t="s">
        <v>39</v>
      </c>
      <c r="C8" s="15" t="s">
        <v>25</v>
      </c>
      <c r="D8" s="16" t="s">
        <v>26</v>
      </c>
      <c r="E8" s="15" t="s">
        <v>5</v>
      </c>
      <c r="F8" s="17" t="s">
        <v>27</v>
      </c>
      <c r="G8" s="18" t="s">
        <v>40</v>
      </c>
    </row>
    <row r="9" customFormat="false" ht="15" hidden="false" customHeight="false" outlineLevel="0" collapsed="false">
      <c r="A9" s="13" t="s">
        <v>41</v>
      </c>
      <c r="B9" s="14" t="s">
        <v>42</v>
      </c>
      <c r="C9" s="15" t="s">
        <v>25</v>
      </c>
      <c r="D9" s="16" t="s">
        <v>26</v>
      </c>
      <c r="E9" s="15" t="s">
        <v>5</v>
      </c>
      <c r="F9" s="17" t="s">
        <v>27</v>
      </c>
      <c r="G9" s="18" t="s">
        <v>43</v>
      </c>
    </row>
    <row r="10" customFormat="false" ht="15" hidden="false" customHeight="false" outlineLevel="0" collapsed="false">
      <c r="A10" s="13" t="s">
        <v>44</v>
      </c>
      <c r="B10" s="14" t="s">
        <v>45</v>
      </c>
      <c r="C10" s="15" t="s">
        <v>25</v>
      </c>
      <c r="D10" s="19" t="s">
        <v>46</v>
      </c>
      <c r="E10" s="15" t="s">
        <v>5</v>
      </c>
      <c r="F10" s="17" t="s">
        <v>47</v>
      </c>
      <c r="G10" s="18" t="s">
        <v>48</v>
      </c>
    </row>
    <row r="11" customFormat="false" ht="15" hidden="false" customHeight="false" outlineLevel="0" collapsed="false">
      <c r="A11" s="13" t="s">
        <v>49</v>
      </c>
      <c r="B11" s="14" t="s">
        <v>50</v>
      </c>
      <c r="C11" s="15" t="s">
        <v>25</v>
      </c>
      <c r="D11" s="19" t="s">
        <v>46</v>
      </c>
      <c r="E11" s="15" t="s">
        <v>5</v>
      </c>
      <c r="F11" s="17" t="s">
        <v>47</v>
      </c>
      <c r="G11" s="18" t="s">
        <v>51</v>
      </c>
    </row>
    <row r="12" customFormat="false" ht="15" hidden="false" customHeight="false" outlineLevel="0" collapsed="false">
      <c r="A12" s="13" t="s">
        <v>52</v>
      </c>
      <c r="B12" s="14" t="s">
        <v>53</v>
      </c>
      <c r="C12" s="15" t="s">
        <v>25</v>
      </c>
      <c r="D12" s="20" t="s">
        <v>54</v>
      </c>
      <c r="E12" s="15" t="s">
        <v>5</v>
      </c>
      <c r="F12" s="17" t="s">
        <v>47</v>
      </c>
      <c r="G12" s="18" t="s">
        <v>55</v>
      </c>
    </row>
    <row r="13" customFormat="false" ht="15" hidden="false" customHeight="false" outlineLevel="0" collapsed="false">
      <c r="A13" s="13" t="s">
        <v>56</v>
      </c>
      <c r="B13" s="14" t="s">
        <v>57</v>
      </c>
      <c r="C13" s="15" t="s">
        <v>58</v>
      </c>
      <c r="D13" s="16" t="s">
        <v>26</v>
      </c>
      <c r="E13" s="15" t="s">
        <v>5</v>
      </c>
      <c r="F13" s="17" t="s">
        <v>59</v>
      </c>
      <c r="G13" s="18" t="s">
        <v>60</v>
      </c>
    </row>
    <row r="14" customFormat="false" ht="15" hidden="false" customHeight="false" outlineLevel="0" collapsed="false">
      <c r="A14" s="13" t="s">
        <v>61</v>
      </c>
      <c r="B14" s="14" t="s">
        <v>62</v>
      </c>
      <c r="C14" s="15" t="s">
        <v>58</v>
      </c>
      <c r="D14" s="16" t="s">
        <v>26</v>
      </c>
      <c r="E14" s="15" t="s">
        <v>5</v>
      </c>
      <c r="F14" s="17" t="s">
        <v>59</v>
      </c>
      <c r="G14" s="18" t="s">
        <v>60</v>
      </c>
    </row>
    <row r="15" customFormat="false" ht="15" hidden="false" customHeight="false" outlineLevel="0" collapsed="false">
      <c r="A15" s="13" t="s">
        <v>63</v>
      </c>
      <c r="B15" s="14" t="s">
        <v>64</v>
      </c>
      <c r="C15" s="15" t="s">
        <v>58</v>
      </c>
      <c r="D15" s="16" t="s">
        <v>26</v>
      </c>
      <c r="E15" s="15" t="s">
        <v>5</v>
      </c>
      <c r="F15" s="17" t="s">
        <v>59</v>
      </c>
      <c r="G15" s="18" t="s">
        <v>60</v>
      </c>
    </row>
    <row r="16" customFormat="false" ht="15" hidden="false" customHeight="false" outlineLevel="0" collapsed="false">
      <c r="A16" s="13" t="s">
        <v>65</v>
      </c>
      <c r="B16" s="14" t="s">
        <v>66</v>
      </c>
      <c r="C16" s="15" t="s">
        <v>58</v>
      </c>
      <c r="D16" s="16" t="s">
        <v>26</v>
      </c>
      <c r="E16" s="15" t="s">
        <v>5</v>
      </c>
      <c r="F16" s="17" t="s">
        <v>59</v>
      </c>
      <c r="G16" s="18" t="s">
        <v>60</v>
      </c>
    </row>
    <row r="17" customFormat="false" ht="15" hidden="false" customHeight="false" outlineLevel="0" collapsed="false">
      <c r="A17" s="13" t="s">
        <v>67</v>
      </c>
      <c r="B17" s="14" t="s">
        <v>68</v>
      </c>
      <c r="C17" s="15" t="s">
        <v>58</v>
      </c>
      <c r="D17" s="16" t="s">
        <v>26</v>
      </c>
      <c r="E17" s="15" t="s">
        <v>5</v>
      </c>
      <c r="F17" s="17" t="s">
        <v>59</v>
      </c>
      <c r="G17" s="18"/>
    </row>
    <row r="18" customFormat="false" ht="15" hidden="false" customHeight="false" outlineLevel="0" collapsed="false">
      <c r="A18" s="13" t="s">
        <v>69</v>
      </c>
      <c r="B18" s="14" t="s">
        <v>70</v>
      </c>
      <c r="C18" s="15" t="s">
        <v>58</v>
      </c>
      <c r="D18" s="16" t="s">
        <v>26</v>
      </c>
      <c r="E18" s="15" t="s">
        <v>5</v>
      </c>
      <c r="F18" s="17" t="s">
        <v>59</v>
      </c>
      <c r="G18" s="18"/>
    </row>
    <row r="19" customFormat="false" ht="15" hidden="false" customHeight="false" outlineLevel="0" collapsed="false">
      <c r="A19" s="13" t="s">
        <v>71</v>
      </c>
      <c r="B19" s="14" t="s">
        <v>72</v>
      </c>
      <c r="C19" s="15" t="s">
        <v>58</v>
      </c>
      <c r="D19" s="19" t="s">
        <v>46</v>
      </c>
      <c r="E19" s="15" t="s">
        <v>5</v>
      </c>
      <c r="F19" s="17" t="s">
        <v>59</v>
      </c>
      <c r="G19" s="18"/>
    </row>
    <row r="20" customFormat="false" ht="15" hidden="false" customHeight="false" outlineLevel="0" collapsed="false">
      <c r="A20" s="13" t="s">
        <v>73</v>
      </c>
      <c r="B20" s="14" t="s">
        <v>74</v>
      </c>
      <c r="C20" s="15" t="s">
        <v>58</v>
      </c>
      <c r="D20" s="19" t="s">
        <v>46</v>
      </c>
      <c r="E20" s="15" t="s">
        <v>5</v>
      </c>
      <c r="F20" s="17" t="s">
        <v>59</v>
      </c>
      <c r="G20" s="18"/>
    </row>
    <row r="21" customFormat="false" ht="15" hidden="false" customHeight="false" outlineLevel="0" collapsed="false">
      <c r="A21" s="13" t="s">
        <v>75</v>
      </c>
      <c r="B21" s="14" t="s">
        <v>76</v>
      </c>
      <c r="C21" s="15" t="s">
        <v>58</v>
      </c>
      <c r="D21" s="19" t="s">
        <v>46</v>
      </c>
      <c r="E21" s="15" t="s">
        <v>5</v>
      </c>
      <c r="F21" s="17" t="s">
        <v>59</v>
      </c>
      <c r="G21" s="18" t="s">
        <v>77</v>
      </c>
    </row>
    <row r="22" customFormat="false" ht="15" hidden="false" customHeight="false" outlineLevel="0" collapsed="false">
      <c r="A22" s="13" t="s">
        <v>78</v>
      </c>
      <c r="B22" s="14" t="s">
        <v>79</v>
      </c>
      <c r="C22" s="15" t="s">
        <v>80</v>
      </c>
      <c r="D22" s="16" t="s">
        <v>26</v>
      </c>
      <c r="E22" s="15" t="s">
        <v>5</v>
      </c>
      <c r="F22" s="17" t="s">
        <v>81</v>
      </c>
      <c r="G22" s="18" t="s">
        <v>82</v>
      </c>
    </row>
    <row r="23" customFormat="false" ht="15" hidden="false" customHeight="false" outlineLevel="0" collapsed="false">
      <c r="A23" s="13" t="s">
        <v>83</v>
      </c>
      <c r="B23" s="14" t="s">
        <v>84</v>
      </c>
      <c r="C23" s="15" t="s">
        <v>80</v>
      </c>
      <c r="D23" s="16" t="s">
        <v>26</v>
      </c>
      <c r="E23" s="15" t="s">
        <v>5</v>
      </c>
      <c r="F23" s="17" t="s">
        <v>81</v>
      </c>
      <c r="G23" s="18" t="s">
        <v>85</v>
      </c>
    </row>
    <row r="24" customFormat="false" ht="15" hidden="false" customHeight="false" outlineLevel="0" collapsed="false">
      <c r="A24" s="13" t="s">
        <v>86</v>
      </c>
      <c r="B24" s="14" t="s">
        <v>87</v>
      </c>
      <c r="C24" s="15" t="s">
        <v>80</v>
      </c>
      <c r="D24" s="16" t="s">
        <v>26</v>
      </c>
      <c r="E24" s="15" t="s">
        <v>5</v>
      </c>
      <c r="F24" s="17" t="s">
        <v>81</v>
      </c>
      <c r="G24" s="18" t="s">
        <v>88</v>
      </c>
    </row>
    <row r="25" customFormat="false" ht="15" hidden="false" customHeight="false" outlineLevel="0" collapsed="false">
      <c r="A25" s="13" t="s">
        <v>89</v>
      </c>
      <c r="B25" s="14" t="s">
        <v>90</v>
      </c>
      <c r="C25" s="15" t="s">
        <v>80</v>
      </c>
      <c r="D25" s="19" t="s">
        <v>46</v>
      </c>
      <c r="E25" s="15" t="s">
        <v>5</v>
      </c>
      <c r="F25" s="17" t="s">
        <v>91</v>
      </c>
      <c r="G25" s="18" t="s">
        <v>92</v>
      </c>
    </row>
    <row r="26" customFormat="false" ht="15" hidden="false" customHeight="false" outlineLevel="0" collapsed="false">
      <c r="A26" s="13" t="s">
        <v>93</v>
      </c>
      <c r="B26" s="14" t="s">
        <v>94</v>
      </c>
      <c r="C26" s="15" t="s">
        <v>80</v>
      </c>
      <c r="D26" s="19" t="s">
        <v>46</v>
      </c>
      <c r="E26" s="15" t="s">
        <v>5</v>
      </c>
      <c r="F26" s="17" t="s">
        <v>81</v>
      </c>
      <c r="G26" s="18" t="s">
        <v>95</v>
      </c>
    </row>
    <row r="27" customFormat="false" ht="15" hidden="false" customHeight="false" outlineLevel="0" collapsed="false">
      <c r="A27" s="13" t="s">
        <v>96</v>
      </c>
      <c r="B27" s="14" t="s">
        <v>97</v>
      </c>
      <c r="C27" s="15" t="s">
        <v>80</v>
      </c>
      <c r="D27" s="19" t="s">
        <v>46</v>
      </c>
      <c r="E27" s="15" t="s">
        <v>5</v>
      </c>
      <c r="F27" s="17" t="s">
        <v>81</v>
      </c>
      <c r="G27" s="18" t="s">
        <v>98</v>
      </c>
    </row>
    <row r="28" customFormat="false" ht="15" hidden="false" customHeight="false" outlineLevel="0" collapsed="false">
      <c r="A28" s="13" t="s">
        <v>99</v>
      </c>
      <c r="B28" s="14" t="s">
        <v>100</v>
      </c>
      <c r="C28" s="15" t="s">
        <v>80</v>
      </c>
      <c r="D28" s="20" t="s">
        <v>54</v>
      </c>
      <c r="E28" s="15" t="s">
        <v>5</v>
      </c>
      <c r="F28" s="17" t="s">
        <v>81</v>
      </c>
      <c r="G28" s="18" t="s">
        <v>101</v>
      </c>
    </row>
    <row r="29" customFormat="false" ht="15" hidden="false" customHeight="false" outlineLevel="0" collapsed="false">
      <c r="A29" s="13" t="s">
        <v>102</v>
      </c>
      <c r="B29" s="14" t="s">
        <v>103</v>
      </c>
      <c r="C29" s="15" t="s">
        <v>80</v>
      </c>
      <c r="D29" s="20" t="s">
        <v>54</v>
      </c>
      <c r="E29" s="15" t="s">
        <v>5</v>
      </c>
      <c r="F29" s="17" t="s">
        <v>81</v>
      </c>
      <c r="G29" s="18" t="s">
        <v>104</v>
      </c>
    </row>
    <row r="30" customFormat="false" ht="15" hidden="false" customHeight="false" outlineLevel="0" collapsed="false">
      <c r="A30" s="13" t="s">
        <v>105</v>
      </c>
      <c r="B30" s="14" t="s">
        <v>106</v>
      </c>
      <c r="C30" s="15" t="s">
        <v>80</v>
      </c>
      <c r="D30" s="20" t="s">
        <v>54</v>
      </c>
      <c r="E30" s="15" t="s">
        <v>5</v>
      </c>
      <c r="F30" s="17" t="s">
        <v>81</v>
      </c>
      <c r="G30" s="18" t="s">
        <v>107</v>
      </c>
    </row>
    <row r="31" customFormat="false" ht="15" hidden="false" customHeight="false" outlineLevel="0" collapsed="false">
      <c r="A31" s="13" t="s">
        <v>108</v>
      </c>
      <c r="B31" s="14" t="s">
        <v>109</v>
      </c>
      <c r="C31" s="15" t="s">
        <v>110</v>
      </c>
      <c r="D31" s="19" t="s">
        <v>46</v>
      </c>
      <c r="E31" s="15" t="s">
        <v>5</v>
      </c>
      <c r="F31" s="17" t="s">
        <v>111</v>
      </c>
      <c r="G31" s="18" t="s">
        <v>112</v>
      </c>
    </row>
    <row r="32" customFormat="false" ht="15" hidden="false" customHeight="false" outlineLevel="0" collapsed="false">
      <c r="A32" s="13" t="s">
        <v>113</v>
      </c>
      <c r="B32" s="14" t="s">
        <v>114</v>
      </c>
      <c r="C32" s="15" t="s">
        <v>110</v>
      </c>
      <c r="D32" s="19" t="s">
        <v>46</v>
      </c>
      <c r="E32" s="15" t="s">
        <v>5</v>
      </c>
      <c r="F32" s="17" t="s">
        <v>111</v>
      </c>
      <c r="G32" s="18" t="s">
        <v>115</v>
      </c>
    </row>
    <row r="33" customFormat="false" ht="15" hidden="false" customHeight="false" outlineLevel="0" collapsed="false">
      <c r="A33" s="13" t="s">
        <v>116</v>
      </c>
      <c r="B33" s="14" t="s">
        <v>117</v>
      </c>
      <c r="C33" s="15" t="s">
        <v>110</v>
      </c>
      <c r="D33" s="19" t="s">
        <v>46</v>
      </c>
      <c r="E33" s="15" t="s">
        <v>5</v>
      </c>
      <c r="F33" s="17" t="s">
        <v>111</v>
      </c>
      <c r="G33" s="18"/>
    </row>
    <row r="34" customFormat="false" ht="15" hidden="false" customHeight="false" outlineLevel="0" collapsed="false">
      <c r="A34" s="13" t="s">
        <v>118</v>
      </c>
      <c r="B34" s="14" t="s">
        <v>119</v>
      </c>
      <c r="C34" s="15" t="s">
        <v>110</v>
      </c>
      <c r="D34" s="19" t="s">
        <v>46</v>
      </c>
      <c r="E34" s="15" t="s">
        <v>5</v>
      </c>
      <c r="F34" s="17" t="s">
        <v>111</v>
      </c>
      <c r="G34" s="18"/>
    </row>
    <row r="35" customFormat="false" ht="15" hidden="false" customHeight="false" outlineLevel="0" collapsed="false">
      <c r="A35" s="13" t="s">
        <v>120</v>
      </c>
      <c r="B35" s="14" t="s">
        <v>121</v>
      </c>
      <c r="C35" s="15" t="s">
        <v>110</v>
      </c>
      <c r="D35" s="19" t="s">
        <v>46</v>
      </c>
      <c r="E35" s="15" t="s">
        <v>5</v>
      </c>
      <c r="F35" s="17" t="s">
        <v>122</v>
      </c>
      <c r="G35" s="18" t="s">
        <v>123</v>
      </c>
    </row>
    <row r="36" customFormat="false" ht="15" hidden="false" customHeight="false" outlineLevel="0" collapsed="false">
      <c r="A36" s="13" t="s">
        <v>124</v>
      </c>
      <c r="B36" s="14" t="s">
        <v>125</v>
      </c>
      <c r="C36" s="15" t="s">
        <v>110</v>
      </c>
      <c r="D36" s="19" t="s">
        <v>46</v>
      </c>
      <c r="E36" s="15" t="s">
        <v>5</v>
      </c>
      <c r="F36" s="17" t="s">
        <v>122</v>
      </c>
      <c r="G36" s="18" t="s">
        <v>126</v>
      </c>
    </row>
    <row r="37" customFormat="false" ht="15" hidden="false" customHeight="false" outlineLevel="0" collapsed="false">
      <c r="A37" s="13" t="s">
        <v>127</v>
      </c>
      <c r="B37" s="14" t="s">
        <v>128</v>
      </c>
      <c r="C37" s="15" t="s">
        <v>110</v>
      </c>
      <c r="D37" s="19" t="s">
        <v>46</v>
      </c>
      <c r="E37" s="15" t="s">
        <v>5</v>
      </c>
      <c r="F37" s="17" t="s">
        <v>122</v>
      </c>
      <c r="G37" s="18"/>
    </row>
    <row r="38" customFormat="false" ht="15" hidden="false" customHeight="false" outlineLevel="0" collapsed="false">
      <c r="A38" s="13" t="s">
        <v>129</v>
      </c>
      <c r="B38" s="14" t="s">
        <v>130</v>
      </c>
      <c r="C38" s="15" t="s">
        <v>110</v>
      </c>
      <c r="D38" s="20" t="s">
        <v>54</v>
      </c>
      <c r="E38" s="15" t="s">
        <v>5</v>
      </c>
      <c r="F38" s="17" t="s">
        <v>131</v>
      </c>
      <c r="G38" s="18" t="s">
        <v>132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55"/>
    <col collapsed="false" customWidth="true" hidden="false" outlineLevel="0" max="4" min="4" style="0" width="12"/>
  </cols>
  <sheetData>
    <row r="1" customFormat="false" ht="16.15" hidden="false" customHeight="false" outlineLevel="0" collapsed="false">
      <c r="A1" s="21" t="s">
        <v>133</v>
      </c>
      <c r="B1" s="21"/>
      <c r="C1" s="21"/>
      <c r="D1" s="21"/>
    </row>
    <row r="2" customFormat="false" ht="15" hidden="false" customHeight="false" outlineLevel="0" collapsed="false">
      <c r="A2" s="22" t="s">
        <v>134</v>
      </c>
      <c r="B2" s="22" t="s">
        <v>135</v>
      </c>
      <c r="C2" s="22" t="s">
        <v>136</v>
      </c>
      <c r="D2" s="22" t="s">
        <v>137</v>
      </c>
    </row>
    <row r="3" customFormat="false" ht="15" hidden="false" customHeight="false" outlineLevel="0" collapsed="false">
      <c r="A3" s="23" t="s">
        <v>138</v>
      </c>
      <c r="B3" s="24" t="s">
        <v>139</v>
      </c>
      <c r="C3" s="25" t="s">
        <v>140</v>
      </c>
      <c r="D3" s="26" t="s">
        <v>141</v>
      </c>
    </row>
    <row r="4" customFormat="false" ht="15" hidden="false" customHeight="false" outlineLevel="0" collapsed="false">
      <c r="A4" s="23" t="s">
        <v>138</v>
      </c>
      <c r="B4" s="24" t="s">
        <v>142</v>
      </c>
      <c r="C4" s="25" t="s">
        <v>143</v>
      </c>
      <c r="D4" s="26" t="s">
        <v>144</v>
      </c>
    </row>
    <row r="5" customFormat="false" ht="15" hidden="false" customHeight="false" outlineLevel="0" collapsed="false">
      <c r="A5" s="23" t="s">
        <v>138</v>
      </c>
      <c r="B5" s="24" t="s">
        <v>145</v>
      </c>
      <c r="C5" s="25" t="s">
        <v>146</v>
      </c>
      <c r="D5" s="26" t="s">
        <v>147</v>
      </c>
    </row>
    <row r="6" customFormat="false" ht="15" hidden="false" customHeight="false" outlineLevel="0" collapsed="false">
      <c r="A6" s="23" t="s">
        <v>138</v>
      </c>
      <c r="B6" s="24" t="s">
        <v>148</v>
      </c>
      <c r="C6" s="25" t="s">
        <v>149</v>
      </c>
      <c r="D6" s="26" t="s">
        <v>147</v>
      </c>
    </row>
    <row r="7" customFormat="false" ht="15" hidden="false" customHeight="false" outlineLevel="0" collapsed="false">
      <c r="A7" s="23" t="s">
        <v>138</v>
      </c>
      <c r="B7" s="24" t="s">
        <v>150</v>
      </c>
      <c r="C7" s="25" t="s">
        <v>151</v>
      </c>
      <c r="D7" s="26" t="s">
        <v>147</v>
      </c>
    </row>
    <row r="8" customFormat="false" ht="15" hidden="false" customHeight="false" outlineLevel="0" collapsed="false">
      <c r="A8" s="23" t="s">
        <v>138</v>
      </c>
      <c r="B8" s="24" t="s">
        <v>152</v>
      </c>
      <c r="C8" s="25" t="s">
        <v>153</v>
      </c>
      <c r="D8" s="26" t="s">
        <v>147</v>
      </c>
    </row>
    <row r="9" customFormat="false" ht="15" hidden="false" customHeight="false" outlineLevel="0" collapsed="false">
      <c r="A9" s="23" t="s">
        <v>138</v>
      </c>
      <c r="B9" s="24" t="s">
        <v>154</v>
      </c>
      <c r="C9" s="25" t="s">
        <v>155</v>
      </c>
      <c r="D9" s="26" t="s">
        <v>147</v>
      </c>
    </row>
    <row r="10" customFormat="false" ht="15" hidden="false" customHeight="false" outlineLevel="0" collapsed="false">
      <c r="A10" s="23" t="s">
        <v>138</v>
      </c>
      <c r="B10" s="24" t="s">
        <v>156</v>
      </c>
      <c r="C10" s="25" t="s">
        <v>157</v>
      </c>
      <c r="D10" s="26" t="s">
        <v>158</v>
      </c>
    </row>
    <row r="11" customFormat="false" ht="15" hidden="false" customHeight="false" outlineLevel="0" collapsed="false">
      <c r="A11" s="23" t="s">
        <v>138</v>
      </c>
      <c r="B11" s="24" t="s">
        <v>159</v>
      </c>
      <c r="C11" s="25" t="s">
        <v>160</v>
      </c>
      <c r="D11" s="26" t="s">
        <v>141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2026-04-06T12:13:46Z</dcterms:created>
  <dc:creator>openpyxl</dc:creator>
  <dc:description/>
  <dc:language>en-US</dc:language>
  <cp:lastModifiedBy/>
  <dcterms:modified xsi:type="dcterms:W3CDTF">2026-04-06T12:13:46Z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