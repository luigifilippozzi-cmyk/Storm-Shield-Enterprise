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ing Practices vs SS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<sst xmlns="http://schemas.openxmlformats.org/spreadsheetml/2006/main" count="152" uniqueCount="128">
  <si>
    <t xml:space="preserve">Storm Shield Enterprise — Quadro Comparativo: Leading Practices (Oracle/NetSuite FAM) vs SSE</t>
  </si>
  <si>
    <t xml:space="preserve">Referência: SuiteSuccess Financials First Premium — Brasil — Seção Ativos Fixos (pp. 55-63)</t>
  </si>
  <si>
    <t xml:space="preserve">#</t>
  </si>
  <si>
    <t xml:space="preserve">Funcionalidade Leading Practices</t>
  </si>
  <si>
    <t xml:space="preserve">Implementação SSE</t>
  </si>
  <si>
    <t xml:space="preserve">Status</t>
  </si>
  <si>
    <t xml:space="preserve">Tabelas/Campos SSE</t>
  </si>
  <si>
    <t xml:space="preserve">Observações</t>
  </si>
  <si>
    <t xml:space="preserve">CONFIGURAÇÃO E DADOS MESTRE</t>
  </si>
  <si>
    <t xml:space="preserve">Itens de ativos para transações
(Item sem controle de estoque para transações de compra/venda de ativos)</t>
  </si>
  <si>
    <t xml:space="preserve">fixed_assets vincula a purchase_transaction_id (financial_transactions) e vendor_id. Não requer item de estoque — ativo é registrado diretamente.</t>
  </si>
  <si>
    <t xml:space="preserve">✅ Coberto</t>
  </si>
  <si>
    <t xml:space="preserve">fixed_assets.purchase_transaction_id
fixed_assets.vendor_id</t>
  </si>
  <si>
    <t xml:space="preserve">SSE simplifica: ativo não passa por inventory. Registro direto via financial_transaction.</t>
  </si>
  <si>
    <t xml:space="preserve">Plano de contas — 4 contas obrigatórias por categoria:
• Conta de Ativo Fixo
• Depreciação Acumulada
• Despesa de Depreciação
• Ganho/Perda em Descarte</t>
  </si>
  <si>
    <t xml:space="preserve">asset_categories possui 4 FKs obrigatórias para chart_of_accounts:
asset_account_id (1500)
depreciation_account_id (1590)
expense_account_id (5800)
gain_loss_account_id (9100)</t>
  </si>
  <si>
    <t xml:space="preserve">asset_categories.asset_account_id
asset_categories.depreciation_account_id
asset_categories.expense_account_id
asset_categories.gain_loss_account_id</t>
  </si>
  <si>
    <t xml:space="preserve">Alinhamento 100% com Leading Practice. Contas seed pré-configuradas.</t>
  </si>
  <si>
    <t xml:space="preserve">Tipos de ativo com campos padrão:
• Maquinário, Edifícios, Equipamento IT, Mobília, Veículos, Benfeitorias</t>
  </si>
  <si>
    <t xml:space="preserve">asset_categories com defaults por categoria:
default_depreciation_method, default_useful_life_months, default_salvage_pct</t>
  </si>
  <si>
    <t xml:space="preserve">asset_categories (seed data)
6 categorias pré-configuradas</t>
  </si>
  <si>
    <t xml:space="preserve">Seed data inclui Machinery, Vehicles, Furniture, Computer, Leasehold, Tools.</t>
  </si>
  <si>
    <t xml:space="preserve">AQUISIÇÃO E CAPITALIZAÇÃO DE ATIVOS</t>
  </si>
  <si>
    <t xml:space="preserve">Aquisição via Pedido de Compra → Recebimento → Proposta de ativo</t>
  </si>
  <si>
    <t xml:space="preserve">Ativo pode ser criado via PO (purchase_transaction_id) ou manualmente. Status 'proposal' permite revisão antes de ativação.</t>
  </si>
  <si>
    <t xml:space="preserve">fixed_assets.status = 'proposal'
fixed_assets.purchase_transaction_id</t>
  </si>
  <si>
    <t xml:space="preserve">Fluxo PO → ativo suportado. Proposal workflow implementado.</t>
  </si>
  <si>
    <t xml:space="preserve">Capitalizar ativo com lançamento contábil (fora do processo de PO)</t>
  </si>
  <si>
    <t xml:space="preserve">Ativo pode ser criado manualmente sem PO. Journal entry D:1500/C:Cash gerado automaticamente ou manual.</t>
  </si>
  <si>
    <t xml:space="preserve">fixed_assets (criação manual)
journal_entries (source='manual')</t>
  </si>
  <si>
    <t xml:space="preserve">Suporta ativos que não passam por PO (transferidos, construídos internamente).</t>
  </si>
  <si>
    <t xml:space="preserve">Gerar ativos com base em registros de propostas (batch)</t>
  </si>
  <si>
    <t xml:space="preserve">Status 'proposal' → 'active' via aprovação. Batch processing via n8n workflow.</t>
  </si>
  <si>
    <t xml:space="preserve">fixed_assets.status workflow
n8n automation</t>
  </si>
  <si>
    <t xml:space="preserve">Aprovação via UI ou batch workflow.</t>
  </si>
  <si>
    <t xml:space="preserve">Criar manualmente / importar CSV</t>
  </si>
  <si>
    <t xml:space="preserve">Criação manual via UI + import CSV via n8n/API.</t>
  </si>
  <si>
    <t xml:space="preserve">fixed_assets (API + UI)
n8n CSV import workflow</t>
  </si>
  <si>
    <t xml:space="preserve">API REST + CSV bulk import.</t>
  </si>
  <si>
    <t xml:space="preserve">Divisão de ativo (split em múltiplas linhas)</t>
  </si>
  <si>
    <t xml:space="preserve">Não implementado nativamente — ativo pode ser criado como múltiplos registros separados.</t>
  </si>
  <si>
    <t xml:space="preserve">⚠️ Parcial</t>
  </si>
  <si>
    <t xml:space="preserve">—</t>
  </si>
  <si>
    <t xml:space="preserve">Pode ser implementado via workflow: criar N ativos filhos e desativar o pai. Considerar para v2.</t>
  </si>
  <si>
    <t xml:space="preserve">Transferência de ativo (entre categorias, localizações, departamentos)</t>
  </si>
  <si>
    <t xml:space="preserve">Status 'transferred' suportado. Campos category_id e location editáveis. Journal entry automático para transferências contábeis.</t>
  </si>
  <si>
    <t xml:space="preserve">fixed_assets.status = 'transferred'
fixed_assets.category_id
fixed_assets.location</t>
  </si>
  <si>
    <t xml:space="preserve">Transferência gera JE se contas GL mudarem.</t>
  </si>
  <si>
    <t xml:space="preserve">DEPRECIAÇÃO</t>
  </si>
  <si>
    <t xml:space="preserve">Executar depreciação (mensal/trimestral/anual por tipo de ativo e período)</t>
  </si>
  <si>
    <t xml:space="preserve">depreciation_entries por fiscal_period + fixed_asset. Batch execution via cron/n8n. Gera JE automático D:5800/C:1590.</t>
  </si>
  <si>
    <t xml:space="preserve">depreciation_entries
depreciation_schedules
journal_entries (auto)</t>
  </si>
  <si>
    <t xml:space="preserve">Cron job mensal ou execução manual sob demanda.</t>
  </si>
  <si>
    <t xml:space="preserve">Valores de depreciação pré-computados (schedules)</t>
  </si>
  <si>
    <t xml:space="preserve">depreciation_schedules pré-calculados na ativação do ativo. Projeta todos os períodos futuros.</t>
  </si>
  <si>
    <t xml:space="preserve">depreciation_schedules
(period_number, amount, accumulated, remaining)</t>
  </si>
  <si>
    <t xml:space="preserve">Schedule gerado automaticamente ao ativar ativo.</t>
  </si>
  <si>
    <t xml:space="preserve">Múltiplos métodos de depreciação:
• Straight-Line
• MACRS
• Declining Balance
• Sum-of-Years
• Units of Production</t>
  </si>
  <si>
    <t xml:space="preserve">5 métodos suportados via ENUM no campo depreciation_method. Fórmulas documentadas na seção 4.13.7.</t>
  </si>
  <si>
    <t xml:space="preserve">fixed_assets.depreciation_method
(5 métodos ENUM)</t>
  </si>
  <si>
    <t xml:space="preserve">Inclui MACRS com half-year convention conforme IRS Pub 946.</t>
  </si>
  <si>
    <t xml:space="preserve">Redefinir valores de ativos (recalcular schedules após alteração)</t>
  </si>
  <si>
    <t xml:space="preserve">Revaluation via depreciation_entries.entry_type = 'revaluation'. Schedules futuros recalculados sobre vida útil restante.</t>
  </si>
  <si>
    <t xml:space="preserve">depreciation_entries.entry_type = 'revaluation'
depreciation_schedules (recalc)</t>
  </si>
  <si>
    <t xml:space="preserve">NBV e schedules atualizados automaticamente.</t>
  </si>
  <si>
    <t xml:space="preserve">Depreciação alternativa (método fiscal/tax)</t>
  </si>
  <si>
    <t xml:space="preserve">Não implementado como livro separado — um ativo usa um único método. Relatório MACRS vs Straight-Line pode ser gerado via query.</t>
  </si>
  <si>
    <t xml:space="preserve">fixed_assets.depreciation_method</t>
  </si>
  <si>
    <t xml:space="preserve">Multi-book accounting (contábil + fiscal) pode ser adicionado em v2 se necessário.</t>
  </si>
  <si>
    <t xml:space="preserve">Catch-up de períodos anteriores não processados</t>
  </si>
  <si>
    <t xml:space="preserve">depreciation_entries.entry_type = 'catch_up' para períodos perdidos. Sistema detecta gaps e calcula automaticamente.</t>
  </si>
  <si>
    <t xml:space="preserve">depreciation_entries.entry_type = 'catch_up'</t>
  </si>
  <si>
    <t xml:space="preserve">Previne lacunas no histórico de depreciação.</t>
  </si>
  <si>
    <t xml:space="preserve">REAVALIAÇÃO E AJUSTES</t>
  </si>
  <si>
    <t xml:space="preserve">Reavaliação de ativo (write-down parcial / reintegração)</t>
  </si>
  <si>
    <t xml:space="preserve">Suportado via depreciation_entries.entry_type = 'revaluation' + 'adjustment'. Novo NBV registrado, depreciação futura recalculada.</t>
  </si>
  <si>
    <t xml:space="preserve">depreciation_entries (revaluation/adjustment)
fixed_assets.net_book_value</t>
  </si>
  <si>
    <t xml:space="preserve">Opções: recalcular desde início ou apenas vida útil restante.</t>
  </si>
  <si>
    <t xml:space="preserve">DESCARTE DE ATIVOS</t>
  </si>
  <si>
    <t xml:space="preserve">Descarte — Venda (com cálculo ganho/perda + faturamento)</t>
  </si>
  <si>
    <t xml:space="preserve">asset_disposals.disposal_type = 'sale'. Calcula gain_loss = proceeds - NBV. Gera JE automático. buyer_customer_id vincula ao cliente.</t>
  </si>
  <si>
    <t xml:space="preserve">asset_disposals (sale)
journal_entries (automático)
customers (buyer)</t>
  </si>
  <si>
    <t xml:space="preserve">JE: D:1590+D:Cash / C:1500+C/D:9100.</t>
  </si>
  <si>
    <t xml:space="preserve">Descarte — Baixa contábil (write-off)</t>
  </si>
  <si>
    <t xml:space="preserve">asset_disposals.disposal_type = 'write_off'. JE automático: D:1590+D:9100 / C:1500.</t>
  </si>
  <si>
    <t xml:space="preserve">asset_disposals (write_off)
journal_entries</t>
  </si>
  <si>
    <t xml:space="preserve">Sem recebimento de caixa. Perda lançada em 9100.</t>
  </si>
  <si>
    <t xml:space="preserve">Aprovação gerencial para descarte</t>
  </si>
  <si>
    <t xml:space="preserve">asset_disposals.approved_by + approved_at. RBAC controla quem pode aprovar.</t>
  </si>
  <si>
    <t xml:space="preserve">asset_disposals.approved_by
asset_disposals.approved_at
RBAC permissions</t>
  </si>
  <si>
    <t xml:space="preserve">Roles: Gerente Contábil ou Controller.</t>
  </si>
  <si>
    <t xml:space="preserve">LEASING E COMPLIANCE</t>
  </si>
  <si>
    <t xml:space="preserve">Contabilidade de leasing (IFRS 16 / ASC 842)</t>
  </si>
  <si>
    <t xml:space="preserve">Não implementado nativamente. Ativos arrendados podem ser registrados como fixed_assets com campos customizados.</t>
  </si>
  <si>
    <t xml:space="preserve">fixed_assets.custom_fields (JSONB)</t>
  </si>
  <si>
    <t xml:space="preserve">Lease accounting completo (ROU assets, lease liability) pode ser módulo futuro. Campos JSONB permitem extensão.</t>
  </si>
  <si>
    <t xml:space="preserve">RELATÓRIOS</t>
  </si>
  <si>
    <t xml:space="preserve">Relatório mensal de depreciação</t>
  </si>
  <si>
    <t xml:space="preserve">Query: depreciation_entries JOIN fixed_assets JOIN fiscal_periods. Agregação por período/categoria.</t>
  </si>
  <si>
    <t xml:space="preserve">depreciation_entries
fiscal_periods
asset_categories</t>
  </si>
  <si>
    <t xml:space="preserve">Dashboard + export Excel/PDF.</t>
  </si>
  <si>
    <t xml:space="preserve">Relatório de adições (novos ativos no período)</t>
  </si>
  <si>
    <t xml:space="preserve">Query: fixed_assets WHERE acquisition_date BETWEEN período. Agrupado por categoria.</t>
  </si>
  <si>
    <t xml:space="preserve">fixed_assets.acquisition_date
asset_categories</t>
  </si>
  <si>
    <t xml:space="preserve">Filtro por data, categoria, localização.</t>
  </si>
  <si>
    <t xml:space="preserve">Relatório de descartes</t>
  </si>
  <si>
    <t xml:space="preserve">Query: asset_disposals JOIN fixed_assets. Detalhes de ganho/perda por tipo de descarte.</t>
  </si>
  <si>
    <t xml:space="preserve">asset_disposals
fixed_assets</t>
  </si>
  <si>
    <t xml:space="preserve">Drill-down por tipo (sale/write-off/transfer).</t>
  </si>
  <si>
    <t xml:space="preserve">Movimento do período (depreciação + aquisições + descartes)</t>
  </si>
  <si>
    <t xml:space="preserve">Views/queries consolidadas combinando depreciation_entries + fixed_assets + asset_disposals por fiscal_period.</t>
  </si>
  <si>
    <t xml:space="preserve">Combinação de tabelas FAM
fiscal_periods</t>
  </si>
  <si>
    <t xml:space="preserve">Relatório tipo roll-forward de ativos.</t>
  </si>
  <si>
    <t xml:space="preserve">Lista de ativos / Registro de ativo</t>
  </si>
  <si>
    <t xml:space="preserve">Query: fixed_assets com filtros por status, categoria, localização. Detalhamento individual do ativo.</t>
  </si>
  <si>
    <t xml:space="preserve">fixed_assets (full record)
asset_categories</t>
  </si>
  <si>
    <t xml:space="preserve">Export completo com todos os campos.</t>
  </si>
  <si>
    <t xml:space="preserve">Histórico da proposta</t>
  </si>
  <si>
    <t xml:space="preserve">fixed_assets com status = 'proposal' + audit_logs para rastreio de alterações.</t>
  </si>
  <si>
    <t xml:space="preserve">fixed_assets.status
audit_logs</t>
  </si>
  <si>
    <t xml:space="preserve">Audit trail completo via audit_logs.</t>
  </si>
  <si>
    <t xml:space="preserve">RESUMO</t>
  </si>
  <si>
    <t xml:space="preserve">Total de funcionalidades mapeadas</t>
  </si>
  <si>
    <t xml:space="preserve">26</t>
  </si>
  <si>
    <t xml:space="preserve">Cobertura Total (✅ Coberto)</t>
  </si>
  <si>
    <t xml:space="preserve">Cobertura Parcial (⚠️ Parcial)</t>
  </si>
  <si>
    <t xml:space="preserve">Não Coberto (❌)</t>
  </si>
  <si>
    <t xml:space="preserve">% Cobertura Total + Parcial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</si>
</sst>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4F72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B4F7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4F72"/>
        <bgColor rgb="FF333399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EF9E7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9E7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4F7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45"/>
    <col collapsed="false" customWidth="true" hidden="false" outlineLevel="0" max="4" min="4" style="0" width="14"/>
    <col collapsed="false" customWidth="true" hidden="false" outlineLevel="0" max="5" min="5" style="0" width="42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4.75" hidden="false" customHeight="true" outlineLevel="0" collapsed="false">
      <c r="A5" s="4" t="s">
        <v>8</v>
      </c>
      <c r="B5" s="4"/>
      <c r="C5" s="4"/>
      <c r="D5" s="4"/>
      <c r="E5" s="4"/>
      <c r="F5" s="4"/>
    </row>
    <row r="6" customFormat="false" ht="64.5" hidden="false" customHeight="true" outlineLevel="0" collapsed="false">
      <c r="A6" s="5" t="n">
        <v>1</v>
      </c>
      <c r="B6" s="6" t="s">
        <v>9</v>
      </c>
      <c r="C6" s="6" t="s">
        <v>10</v>
      </c>
      <c r="D6" s="7" t="s">
        <v>11</v>
      </c>
      <c r="E6" s="6" t="s">
        <v>12</v>
      </c>
      <c r="F6" s="6" t="s">
        <v>13</v>
      </c>
    </row>
    <row r="7" customFormat="false" ht="64.5" hidden="false" customHeight="true" outlineLevel="0" collapsed="false">
      <c r="A7" s="5" t="n">
        <v>2</v>
      </c>
      <c r="B7" s="6" t="s">
        <v>14</v>
      </c>
      <c r="C7" s="6" t="s">
        <v>15</v>
      </c>
      <c r="D7" s="7" t="s">
        <v>11</v>
      </c>
      <c r="E7" s="6" t="s">
        <v>16</v>
      </c>
      <c r="F7" s="6" t="s">
        <v>17</v>
      </c>
    </row>
    <row r="8" customFormat="false" ht="64.5" hidden="false" customHeight="true" outlineLevel="0" collapsed="false">
      <c r="A8" s="5" t="n">
        <v>3</v>
      </c>
      <c r="B8" s="6" t="s">
        <v>18</v>
      </c>
      <c r="C8" s="6" t="s">
        <v>19</v>
      </c>
      <c r="D8" s="7" t="s">
        <v>11</v>
      </c>
      <c r="E8" s="6" t="s">
        <v>20</v>
      </c>
      <c r="F8" s="6" t="s">
        <v>21</v>
      </c>
    </row>
    <row r="9" customFormat="false" ht="24.75" hidden="false" customHeight="true" outlineLevel="0" collapsed="false">
      <c r="A9" s="4" t="s">
        <v>22</v>
      </c>
      <c r="B9" s="4"/>
      <c r="C9" s="4"/>
      <c r="D9" s="4"/>
      <c r="E9" s="4"/>
      <c r="F9" s="4"/>
    </row>
    <row r="10" customFormat="false" ht="64.5" hidden="false" customHeight="true" outlineLevel="0" collapsed="false">
      <c r="A10" s="5" t="n">
        <v>4</v>
      </c>
      <c r="B10" s="6" t="s">
        <v>23</v>
      </c>
      <c r="C10" s="6" t="s">
        <v>24</v>
      </c>
      <c r="D10" s="7" t="s">
        <v>11</v>
      </c>
      <c r="E10" s="6" t="s">
        <v>25</v>
      </c>
      <c r="F10" s="6" t="s">
        <v>26</v>
      </c>
    </row>
    <row r="11" customFormat="false" ht="64.5" hidden="false" customHeight="true" outlineLevel="0" collapsed="false">
      <c r="A11" s="5" t="n">
        <v>5</v>
      </c>
      <c r="B11" s="6" t="s">
        <v>27</v>
      </c>
      <c r="C11" s="6" t="s">
        <v>28</v>
      </c>
      <c r="D11" s="7" t="s">
        <v>11</v>
      </c>
      <c r="E11" s="6" t="s">
        <v>29</v>
      </c>
      <c r="F11" s="6" t="s">
        <v>30</v>
      </c>
    </row>
    <row r="12" customFormat="false" ht="64.5" hidden="false" customHeight="true" outlineLevel="0" collapsed="false">
      <c r="A12" s="5" t="n">
        <v>6</v>
      </c>
      <c r="B12" s="6" t="s">
        <v>31</v>
      </c>
      <c r="C12" s="6" t="s">
        <v>32</v>
      </c>
      <c r="D12" s="7" t="s">
        <v>11</v>
      </c>
      <c r="E12" s="6" t="s">
        <v>33</v>
      </c>
      <c r="F12" s="6" t="s">
        <v>34</v>
      </c>
    </row>
    <row r="13" customFormat="false" ht="64.5" hidden="false" customHeight="true" outlineLevel="0" collapsed="false">
      <c r="A13" s="5" t="n">
        <v>7</v>
      </c>
      <c r="B13" s="6" t="s">
        <v>35</v>
      </c>
      <c r="C13" s="6" t="s">
        <v>36</v>
      </c>
      <c r="D13" s="7" t="s">
        <v>11</v>
      </c>
      <c r="E13" s="6" t="s">
        <v>37</v>
      </c>
      <c r="F13" s="6" t="s">
        <v>38</v>
      </c>
    </row>
    <row r="14" customFormat="false" ht="64.5" hidden="false" customHeight="true" outlineLevel="0" collapsed="false">
      <c r="A14" s="5" t="n">
        <v>8</v>
      </c>
      <c r="B14" s="6" t="s">
        <v>39</v>
      </c>
      <c r="C14" s="6" t="s">
        <v>40</v>
      </c>
      <c r="D14" s="8" t="s">
        <v>41</v>
      </c>
      <c r="E14" s="6" t="s">
        <v>42</v>
      </c>
      <c r="F14" s="6" t="s">
        <v>43</v>
      </c>
    </row>
    <row r="15" customFormat="false" ht="64.5" hidden="false" customHeight="true" outlineLevel="0" collapsed="false">
      <c r="A15" s="5" t="n">
        <v>9</v>
      </c>
      <c r="B15" s="6" t="s">
        <v>44</v>
      </c>
      <c r="C15" s="6" t="s">
        <v>45</v>
      </c>
      <c r="D15" s="7" t="s">
        <v>11</v>
      </c>
      <c r="E15" s="6" t="s">
        <v>46</v>
      </c>
      <c r="F15" s="6" t="s">
        <v>47</v>
      </c>
    </row>
    <row r="16" customFormat="false" ht="24.75" hidden="false" customHeight="true" outlineLevel="0" collapsed="false">
      <c r="A16" s="4" t="s">
        <v>48</v>
      </c>
      <c r="B16" s="4"/>
      <c r="C16" s="4"/>
      <c r="D16" s="4"/>
      <c r="E16" s="4"/>
      <c r="F16" s="4"/>
    </row>
    <row r="17" customFormat="false" ht="64.5" hidden="false" customHeight="true" outlineLevel="0" collapsed="false">
      <c r="A17" s="5" t="n">
        <v>10</v>
      </c>
      <c r="B17" s="6" t="s">
        <v>49</v>
      </c>
      <c r="C17" s="6" t="s">
        <v>50</v>
      </c>
      <c r="D17" s="7" t="s">
        <v>11</v>
      </c>
      <c r="E17" s="6" t="s">
        <v>51</v>
      </c>
      <c r="F17" s="6" t="s">
        <v>52</v>
      </c>
    </row>
    <row r="18" customFormat="false" ht="64.5" hidden="false" customHeight="true" outlineLevel="0" collapsed="false">
      <c r="A18" s="5" t="n">
        <v>11</v>
      </c>
      <c r="B18" s="6" t="s">
        <v>53</v>
      </c>
      <c r="C18" s="6" t="s">
        <v>54</v>
      </c>
      <c r="D18" s="7" t="s">
        <v>11</v>
      </c>
      <c r="E18" s="6" t="s">
        <v>55</v>
      </c>
      <c r="F18" s="6" t="s">
        <v>56</v>
      </c>
    </row>
    <row r="19" customFormat="false" ht="64.5" hidden="false" customHeight="true" outlineLevel="0" collapsed="false">
      <c r="A19" s="5" t="n">
        <v>12</v>
      </c>
      <c r="B19" s="6" t="s">
        <v>57</v>
      </c>
      <c r="C19" s="6" t="s">
        <v>58</v>
      </c>
      <c r="D19" s="7" t="s">
        <v>11</v>
      </c>
      <c r="E19" s="6" t="s">
        <v>59</v>
      </c>
      <c r="F19" s="6" t="s">
        <v>60</v>
      </c>
    </row>
    <row r="20" customFormat="false" ht="64.5" hidden="false" customHeight="true" outlineLevel="0" collapsed="false">
      <c r="A20" s="5" t="n">
        <v>13</v>
      </c>
      <c r="B20" s="6" t="s">
        <v>61</v>
      </c>
      <c r="C20" s="6" t="s">
        <v>62</v>
      </c>
      <c r="D20" s="7" t="s">
        <v>11</v>
      </c>
      <c r="E20" s="6" t="s">
        <v>63</v>
      </c>
      <c r="F20" s="6" t="s">
        <v>64</v>
      </c>
    </row>
    <row r="21" customFormat="false" ht="64.5" hidden="false" customHeight="true" outlineLevel="0" collapsed="false">
      <c r="A21" s="5" t="n">
        <v>14</v>
      </c>
      <c r="B21" s="6" t="s">
        <v>65</v>
      </c>
      <c r="C21" s="6" t="s">
        <v>66</v>
      </c>
      <c r="D21" s="8" t="s">
        <v>41</v>
      </c>
      <c r="E21" s="6" t="s">
        <v>67</v>
      </c>
      <c r="F21" s="6" t="s">
        <v>68</v>
      </c>
    </row>
    <row r="22" customFormat="false" ht="64.5" hidden="false" customHeight="true" outlineLevel="0" collapsed="false">
      <c r="A22" s="5" t="n">
        <v>15</v>
      </c>
      <c r="B22" s="6" t="s">
        <v>69</v>
      </c>
      <c r="C22" s="6" t="s">
        <v>70</v>
      </c>
      <c r="D22" s="7" t="s">
        <v>11</v>
      </c>
      <c r="E22" s="6" t="s">
        <v>71</v>
      </c>
      <c r="F22" s="6" t="s">
        <v>72</v>
      </c>
    </row>
    <row r="23" customFormat="false" ht="24.75" hidden="false" customHeight="true" outlineLevel="0" collapsed="false">
      <c r="A23" s="4" t="s">
        <v>73</v>
      </c>
      <c r="B23" s="4"/>
      <c r="C23" s="4"/>
      <c r="D23" s="4"/>
      <c r="E23" s="4"/>
      <c r="F23" s="4"/>
    </row>
    <row r="24" customFormat="false" ht="64.5" hidden="false" customHeight="true" outlineLevel="0" collapsed="false">
      <c r="A24" s="5" t="n">
        <v>16</v>
      </c>
      <c r="B24" s="6" t="s">
        <v>74</v>
      </c>
      <c r="C24" s="6" t="s">
        <v>75</v>
      </c>
      <c r="D24" s="7" t="s">
        <v>11</v>
      </c>
      <c r="E24" s="6" t="s">
        <v>76</v>
      </c>
      <c r="F24" s="6" t="s">
        <v>77</v>
      </c>
    </row>
    <row r="25" customFormat="false" ht="24.75" hidden="false" customHeight="true" outlineLevel="0" collapsed="false">
      <c r="A25" s="4" t="s">
        <v>78</v>
      </c>
      <c r="B25" s="4"/>
      <c r="C25" s="4"/>
      <c r="D25" s="4"/>
      <c r="E25" s="4"/>
      <c r="F25" s="4"/>
    </row>
    <row r="26" customFormat="false" ht="64.5" hidden="false" customHeight="true" outlineLevel="0" collapsed="false">
      <c r="A26" s="5" t="n">
        <v>17</v>
      </c>
      <c r="B26" s="6" t="s">
        <v>79</v>
      </c>
      <c r="C26" s="6" t="s">
        <v>80</v>
      </c>
      <c r="D26" s="7" t="s">
        <v>11</v>
      </c>
      <c r="E26" s="6" t="s">
        <v>81</v>
      </c>
      <c r="F26" s="6" t="s">
        <v>82</v>
      </c>
    </row>
    <row r="27" customFormat="false" ht="64.5" hidden="false" customHeight="true" outlineLevel="0" collapsed="false">
      <c r="A27" s="5" t="n">
        <v>18</v>
      </c>
      <c r="B27" s="6" t="s">
        <v>83</v>
      </c>
      <c r="C27" s="6" t="s">
        <v>84</v>
      </c>
      <c r="D27" s="7" t="s">
        <v>11</v>
      </c>
      <c r="E27" s="6" t="s">
        <v>85</v>
      </c>
      <c r="F27" s="6" t="s">
        <v>86</v>
      </c>
    </row>
    <row r="28" customFormat="false" ht="64.5" hidden="false" customHeight="true" outlineLevel="0" collapsed="false">
      <c r="A28" s="5" t="n">
        <v>19</v>
      </c>
      <c r="B28" s="6" t="s">
        <v>87</v>
      </c>
      <c r="C28" s="6" t="s">
        <v>88</v>
      </c>
      <c r="D28" s="7" t="s">
        <v>11</v>
      </c>
      <c r="E28" s="6" t="s">
        <v>89</v>
      </c>
      <c r="F28" s="6" t="s">
        <v>90</v>
      </c>
    </row>
    <row r="29" customFormat="false" ht="24.75" hidden="false" customHeight="true" outlineLevel="0" collapsed="false">
      <c r="A29" s="4" t="s">
        <v>91</v>
      </c>
      <c r="B29" s="4"/>
      <c r="C29" s="4"/>
      <c r="D29" s="4"/>
      <c r="E29" s="4"/>
      <c r="F29" s="4"/>
    </row>
    <row r="30" customFormat="false" ht="64.5" hidden="false" customHeight="true" outlineLevel="0" collapsed="false">
      <c r="A30" s="5" t="n">
        <v>20</v>
      </c>
      <c r="B30" s="6" t="s">
        <v>92</v>
      </c>
      <c r="C30" s="6" t="s">
        <v>93</v>
      </c>
      <c r="D30" s="8" t="s">
        <v>41</v>
      </c>
      <c r="E30" s="6" t="s">
        <v>94</v>
      </c>
      <c r="F30" s="6" t="s">
        <v>95</v>
      </c>
    </row>
    <row r="31" customFormat="false" ht="24.75" hidden="false" customHeight="true" outlineLevel="0" collapsed="false">
      <c r="A31" s="4" t="s">
        <v>96</v>
      </c>
      <c r="B31" s="4"/>
      <c r="C31" s="4"/>
      <c r="D31" s="4"/>
      <c r="E31" s="4"/>
      <c r="F31" s="4"/>
    </row>
    <row r="32" customFormat="false" ht="64.5" hidden="false" customHeight="true" outlineLevel="0" collapsed="false">
      <c r="A32" s="5" t="n">
        <v>21</v>
      </c>
      <c r="B32" s="6" t="s">
        <v>97</v>
      </c>
      <c r="C32" s="6" t="s">
        <v>98</v>
      </c>
      <c r="D32" s="7" t="s">
        <v>11</v>
      </c>
      <c r="E32" s="6" t="s">
        <v>99</v>
      </c>
      <c r="F32" s="6" t="s">
        <v>100</v>
      </c>
    </row>
    <row r="33" customFormat="false" ht="64.5" hidden="false" customHeight="true" outlineLevel="0" collapsed="false">
      <c r="A33" s="5" t="n">
        <v>22</v>
      </c>
      <c r="B33" s="6" t="s">
        <v>101</v>
      </c>
      <c r="C33" s="6" t="s">
        <v>102</v>
      </c>
      <c r="D33" s="7" t="s">
        <v>11</v>
      </c>
      <c r="E33" s="6" t="s">
        <v>103</v>
      </c>
      <c r="F33" s="6" t="s">
        <v>104</v>
      </c>
    </row>
    <row r="34" customFormat="false" ht="64.5" hidden="false" customHeight="true" outlineLevel="0" collapsed="false">
      <c r="A34" s="5" t="n">
        <v>23</v>
      </c>
      <c r="B34" s="6" t="s">
        <v>105</v>
      </c>
      <c r="C34" s="6" t="s">
        <v>106</v>
      </c>
      <c r="D34" s="7" t="s">
        <v>11</v>
      </c>
      <c r="E34" s="6" t="s">
        <v>107</v>
      </c>
      <c r="F34" s="6" t="s">
        <v>108</v>
      </c>
    </row>
    <row r="35" customFormat="false" ht="64.5" hidden="false" customHeight="true" outlineLevel="0" collapsed="false">
      <c r="A35" s="5" t="n">
        <v>24</v>
      </c>
      <c r="B35" s="6" t="s">
        <v>109</v>
      </c>
      <c r="C35" s="6" t="s">
        <v>110</v>
      </c>
      <c r="D35" s="7" t="s">
        <v>11</v>
      </c>
      <c r="E35" s="6" t="s">
        <v>111</v>
      </c>
      <c r="F35" s="6" t="s">
        <v>112</v>
      </c>
    </row>
    <row r="36" customFormat="false" ht="64.5" hidden="false" customHeight="true" outlineLevel="0" collapsed="false">
      <c r="A36" s="5" t="n">
        <v>25</v>
      </c>
      <c r="B36" s="6" t="s">
        <v>113</v>
      </c>
      <c r="C36" s="6" t="s">
        <v>114</v>
      </c>
      <c r="D36" s="7" t="s">
        <v>11</v>
      </c>
      <c r="E36" s="6" t="s">
        <v>115</v>
      </c>
      <c r="F36" s="6" t="s">
        <v>116</v>
      </c>
    </row>
    <row r="37" customFormat="false" ht="64.5" hidden="false" customHeight="true" outlineLevel="0" collapsed="false">
      <c r="A37" s="5" t="n">
        <v>26</v>
      </c>
      <c r="B37" s="6" t="s">
        <v>117</v>
      </c>
      <c r="C37" s="6" t="s">
        <v>118</v>
      </c>
      <c r="D37" s="7" t="s">
        <v>11</v>
      </c>
      <c r="E37" s="6" t="s">
        <v>119</v>
      </c>
      <c r="F37" s="6" t="s">
        <v>120</v>
      </c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</row>
    <row r="40" customFormat="false" ht="26.85" hidden="false" customHeight="false" outlineLevel="0" collapsed="false">
      <c r="A40" s="10" t="s">
        <v>121</v>
      </c>
      <c r="B40" s="10"/>
      <c r="C40" s="10"/>
      <c r="D40" s="10"/>
      <c r="E40" s="10"/>
      <c r="F40" s="10"/>
    </row>
    <row r="41" customFormat="false" ht="15" hidden="false" customHeight="false" outlineLevel="0" collapsed="false">
      <c r="A41" s="11"/>
      <c r="B41" s="11" t="s">
        <v>122</v>
      </c>
      <c r="C41" s="6" t="s">
        <v>123</v>
      </c>
      <c r="D41" s="6"/>
      <c r="E41" s="6"/>
      <c r="F41" s="6"/>
    </row>
    <row r="42" customFormat="false" ht="15" hidden="false" customHeight="false" outlineLevel="0" collapsed="false">
      <c r="A42" s="11"/>
      <c r="B42" s="11" t="s">
        <v>124</v>
      </c>
      <c r="C42" s="6" t="n">
        <f aca="false">COUNTIF(D5:D100,"*Coberto*")</f>
        <v>23</v>
      </c>
      <c r="D42" s="6"/>
      <c r="E42" s="6"/>
      <c r="F42" s="6"/>
    </row>
    <row r="43" customFormat="false" ht="15" hidden="false" customHeight="false" outlineLevel="0" collapsed="false">
      <c r="A43" s="11"/>
      <c r="B43" s="11" t="s">
        <v>125</v>
      </c>
      <c r="C43" s="6" t="n">
        <f aca="false">COUNTIF(D5:D100,"*Parcial*")</f>
        <v>3</v>
      </c>
      <c r="D43" s="6"/>
      <c r="E43" s="6"/>
      <c r="F43" s="6"/>
    </row>
    <row r="44" customFormat="false" ht="15" hidden="false" customHeight="false" outlineLevel="0" collapsed="false">
      <c r="A44" s="11"/>
      <c r="B44" s="11" t="s">
        <v>126</v>
      </c>
      <c r="C44" s="6" t="n">
        <f aca="false">COUNTIF(D5:D100,"*N/A*")</f>
        <v>0</v>
      </c>
      <c r="D44" s="6"/>
      <c r="E44" s="6"/>
      <c r="F44" s="6"/>
    </row>
    <row r="45" customFormat="false" ht="15" hidden="false" customHeight="false" outlineLevel="0" collapsed="false">
      <c r="A45" s="11"/>
      <c r="B45" s="11" t="s">
        <v>127</v>
      </c>
      <c r="C45" s="6" t="str">
        <f aca="false">ROUND((C42+C43)/C41*100,1)&amp;"%"</f>
        <v>100%</v>
      </c>
      <c r="D45" s="6"/>
      <c r="E45" s="6"/>
      <c r="F45" s="6"/>
    </row>
  </sheetData>
  <mergeCells count="10">
    <mergeCell ref="A1:F1"/>
    <mergeCell ref="A2:F2"/>
    <mergeCell ref="A5:F5"/>
    <mergeCell ref="A9:F9"/>
    <mergeCell ref="A16:F16"/>
    <mergeCell ref="A23:F23"/>
    <mergeCell ref="A25:F25"/>
    <mergeCell ref="A29:F29"/>
    <mergeCell ref="A31:F31"/>
    <mergeCell ref="A39:F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2026-04-02T18:48:01Z</dcterms:created>
  <dc:creator>openpyxl</dc:creator>
  <dc:description/>
  <dc:language>en-US</dc:language>
  <cp:lastModifiedBy/>
  <dcterms:modified xsi:type="dcterms:W3CDTF">2026-04-02T18:48:01Z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